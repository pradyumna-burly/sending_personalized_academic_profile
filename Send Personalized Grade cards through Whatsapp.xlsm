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Desktop\Self Projects\Sending Personalized grade Sheet Project\"/>
    </mc:Choice>
  </mc:AlternateContent>
  <xr:revisionPtr revIDLastSave="0" documentId="13_ncr:1_{91F96DA6-A2EC-4940-8AD9-78FDB268B296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Batchmate details" sheetId="1" r:id="rId1"/>
    <sheet name="Result Sheet" sheetId="2" r:id="rId2"/>
    <sheet name="Whatsapp send" sheetId="3" r:id="rId3"/>
    <sheet name="VBA Cod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C9" i="2"/>
  <c r="C8" i="2"/>
  <c r="C7" i="2"/>
  <c r="C6" i="2"/>
  <c r="C5" i="2"/>
  <c r="C4" i="2"/>
  <c r="J9" i="3" s="1"/>
  <c r="J10" i="3" s="1"/>
</calcChain>
</file>

<file path=xl/sharedStrings.xml><?xml version="1.0" encoding="utf-8"?>
<sst xmlns="http://schemas.openxmlformats.org/spreadsheetml/2006/main" count="105" uniqueCount="75">
  <si>
    <t>Name</t>
  </si>
  <si>
    <t>DoB</t>
  </si>
  <si>
    <t>Mobile No</t>
  </si>
  <si>
    <t>10th Percentage</t>
  </si>
  <si>
    <t>12th/Diplomo Percentage</t>
  </si>
  <si>
    <t>CGPA</t>
  </si>
  <si>
    <t>Active Backlogs</t>
  </si>
  <si>
    <t>History of Backlogs</t>
  </si>
  <si>
    <t>yes</t>
  </si>
  <si>
    <t>No</t>
  </si>
  <si>
    <t>Name:</t>
  </si>
  <si>
    <t>DoB:</t>
  </si>
  <si>
    <t>10th Grade:</t>
  </si>
  <si>
    <t>12th Grade :</t>
  </si>
  <si>
    <t>Current CGPA :</t>
  </si>
  <si>
    <t>Active Backlogs :</t>
  </si>
  <si>
    <t>History of Backlogs :</t>
  </si>
  <si>
    <t>Student Details</t>
  </si>
  <si>
    <t>This message is Auto Generated</t>
  </si>
  <si>
    <t>Select Name :</t>
  </si>
  <si>
    <t>Please Verify your details</t>
  </si>
  <si>
    <t>Contact  No:</t>
  </si>
  <si>
    <t>Option Explicit</t>
  </si>
  <si>
    <t>Sub SendImageViaWhatsAppAPI()</t>
  </si>
  <si>
    <t xml:space="preserve">    Dim strPhoneNumber As String</t>
  </si>
  <si>
    <t xml:space="preserve">    Dim ws As Worksheet</t>
  </si>
  <si>
    <t xml:space="preserve">    Dim img As shape</t>
  </si>
  <si>
    <t xml:space="preserve">    ' Set the worksheet where the phone number is located</t>
  </si>
  <si>
    <t xml:space="preserve">    Set ws = ThisWorkbook.Sheets("Whatsapp send") ' Change "Data" to your sheet name</t>
  </si>
  <si>
    <t xml:space="preserve">    ' Get phone number</t>
  </si>
  <si>
    <t xml:space="preserve">    strPhoneNumber = ws.Range("J10").Value</t>
  </si>
  <si>
    <t xml:space="preserve">    ' Set the image object (with the specific name "Picture 4")</t>
  </si>
  <si>
    <t xml:space="preserve">    Set img = ws.Shapes("Picture 4")</t>
  </si>
  <si>
    <t xml:space="preserve">    ' Copy the image to the clipboard</t>
  </si>
  <si>
    <t xml:space="preserve">    img.Copy</t>
  </si>
  <si>
    <t xml:space="preserve">    ' Construct the WhatsApp API URL with the phone number</t>
  </si>
  <si>
    <t xml:space="preserve">    Dim whatsappUrl As String</t>
  </si>
  <si>
    <t xml:space="preserve">    whatsappUrl = "https://api.whatsapp.com/send?phone=" &amp; strPhoneNumber</t>
  </si>
  <si>
    <t xml:space="preserve">    ' Open the WhatsApp API link in the default web browser</t>
  </si>
  <si>
    <t xml:space="preserve">    Shell "explorer """ &amp; whatsappUrl &amp; """", vbNormalFocus</t>
  </si>
  <si>
    <t xml:space="preserve">    ' Clear the clipboard</t>
  </si>
  <si>
    <t xml:space="preserve">    Application.CutCopyMode = False</t>
  </si>
  <si>
    <t>End Sub</t>
  </si>
  <si>
    <t>Reply back in case of any Discrepancies</t>
  </si>
  <si>
    <t>Alex Smith</t>
  </si>
  <si>
    <t>Taylor Johnson</t>
  </si>
  <si>
    <t>Jamie Brown</t>
  </si>
  <si>
    <t>Jordan Martinez</t>
  </si>
  <si>
    <t>Casey Davis</t>
  </si>
  <si>
    <t>Morgan Wilson</t>
  </si>
  <si>
    <t>Riley Taylor</t>
  </si>
  <si>
    <t>Parker Anderson</t>
  </si>
  <si>
    <t>Avery Thompson</t>
  </si>
  <si>
    <t>Cameron White</t>
  </si>
  <si>
    <t>Morgan Lee</t>
  </si>
  <si>
    <t>Quinn Harris</t>
  </si>
  <si>
    <t>Dakota Martin</t>
  </si>
  <si>
    <t>Alex Taylor</t>
  </si>
  <si>
    <t>Casey Robinson</t>
  </si>
  <si>
    <t>Jordan Baker</t>
  </si>
  <si>
    <t>Taylor Green</t>
  </si>
  <si>
    <t>Jamie Wright</t>
  </si>
  <si>
    <t>Jordan Clark</t>
  </si>
  <si>
    <t>Riley Walker</t>
  </si>
  <si>
    <t>Parker Lewis</t>
  </si>
  <si>
    <t>Avery Hall</t>
  </si>
  <si>
    <t>Cameron Young</t>
  </si>
  <si>
    <t>Morgan Allen</t>
  </si>
  <si>
    <t>Quinn Carter</t>
  </si>
  <si>
    <t>Dakota Wright</t>
  </si>
  <si>
    <t>Alex King</t>
  </si>
  <si>
    <t>Taylor Lopez</t>
  </si>
  <si>
    <t>Casey Moore</t>
  </si>
  <si>
    <t>Jordan Reed</t>
  </si>
  <si>
    <t>Department of Computer 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</si>
</sst>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202124"/>
      <name val="Roboto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9FA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4" fillId="4" borderId="0" xfId="0" applyFont="1" applyFill="1"/>
    <xf numFmtId="2" fontId="4" fillId="4" borderId="0" xfId="0" applyNumberFormat="1" applyFont="1" applyFill="1"/>
    <xf numFmtId="1" fontId="4" fillId="4" borderId="0" xfId="0" applyNumberFormat="1" applyFont="1" applyFill="1"/>
    <xf numFmtId="49" fontId="4" fillId="4" borderId="0" xfId="0" applyNumberFormat="1" applyFont="1" applyFill="1"/>
    <xf numFmtId="0" fontId="5" fillId="0" borderId="3" xfId="0" applyFont="1" applyBorder="1" applyAlignment="1">
      <alignment wrapText="1"/>
    </xf>
    <xf numFmtId="14" fontId="5" fillId="0" borderId="3" xfId="0" applyNumberFormat="1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6" fillId="0" borderId="0" xfId="3"/>
    <xf numFmtId="0" fontId="3" fillId="0" borderId="0" xfId="0" applyFont="1" applyAlignment="1">
      <alignment horizontal="right"/>
    </xf>
    <xf numFmtId="0" fontId="9" fillId="8" borderId="3" xfId="0" applyFont="1" applyFill="1" applyBorder="1" applyAlignment="1">
      <alignment horizontal="center" wrapText="1"/>
    </xf>
    <xf numFmtId="164" fontId="5" fillId="0" borderId="3" xfId="0" applyNumberFormat="1" applyFont="1" applyBorder="1" applyAlignment="1">
      <alignment horizontal="center" wrapText="1"/>
    </xf>
    <xf numFmtId="0" fontId="0" fillId="3" borderId="2" xfId="2" applyFont="1"/>
    <xf numFmtId="0" fontId="2" fillId="2" borderId="1" xfId="1"/>
    <xf numFmtId="0" fontId="5" fillId="0" borderId="0" xfId="0" applyFont="1" applyAlignment="1">
      <alignment horizontal="center" wrapText="1"/>
    </xf>
    <xf numFmtId="0" fontId="0" fillId="7" borderId="0" xfId="0" applyFill="1"/>
    <xf numFmtId="1" fontId="0" fillId="0" borderId="0" xfId="0" applyNumberFormat="1" applyAlignment="1">
      <alignment horizontal="center" wrapText="1"/>
    </xf>
    <xf numFmtId="1" fontId="0" fillId="3" borderId="2" xfId="2" applyNumberFormat="1" applyFont="1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2" fontId="5" fillId="0" borderId="3" xfId="0" applyNumberFormat="1" applyFont="1" applyBorder="1" applyAlignment="1">
      <alignment horizontal="center" wrapText="1"/>
    </xf>
    <xf numFmtId="0" fontId="8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te" xfId="2" builtinId="10"/>
    <cellStyle name="Output" xfId="1" builtinId="21"/>
  </cellStyles>
  <dxfs count="0"/>
  <tableStyles count="1" defaultTableStyle="TableStyleMedium2" defaultPivotStyle="PivotStyleLight16">
    <tableStyle name="Invisible" pivot="0" table="0" count="0" xr9:uid="{6DA1393A-8F8B-4196-AE45-31B72A6A5E2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</xdr:row>
          <xdr:rowOff>133350</xdr:rowOff>
        </xdr:from>
        <xdr:to>
          <xdr:col>7</xdr:col>
          <xdr:colOff>260466</xdr:colOff>
          <xdr:row>16</xdr:row>
          <xdr:rowOff>101542</xdr:rowOff>
        </xdr:to>
        <xdr:pic macro="[0]!SendImageViaWhatsAppAPI">
          <xdr:nvPicPr>
            <xdr:cNvPr id="5" name="Picture 4">
              <a:extLst>
                <a:ext uri="{FF2B5EF4-FFF2-40B4-BE49-F238E27FC236}">
                  <a16:creationId xmlns:a16="http://schemas.microsoft.com/office/drawing/2014/main" id="{5A097037-97F1-B64A-BFC4-DEAC3CB293F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Result Sheet'!$B$1:$F$14" spid="_x0000_s32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25997" y="506194"/>
              <a:ext cx="3816350" cy="2578100"/>
            </a:xfrm>
            <a:prstGeom prst="rect">
              <a:avLst/>
            </a:prstGeom>
            <a:noFill/>
            <a:ln w="38100">
              <a:solidFill>
                <a:schemeClr val="tx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9"/>
  <sheetViews>
    <sheetView zoomScale="60" zoomScaleNormal="60" workbookViewId="0">
      <selection activeCell="J6" sqref="J6"/>
    </sheetView>
  </sheetViews>
  <sheetFormatPr defaultRowHeight="14.5" x14ac:dyDescent="0.35"/>
  <cols>
    <col min="1" max="1" width="16.54296875" bestFit="1" customWidth="1"/>
    <col min="2" max="2" width="10.90625" bestFit="1" customWidth="1"/>
    <col min="3" max="3" width="16.7265625" bestFit="1" customWidth="1"/>
    <col min="4" max="4" width="14.26953125" bestFit="1" customWidth="1"/>
    <col min="5" max="5" width="22.36328125" bestFit="1" customWidth="1"/>
    <col min="6" max="6" width="5.36328125" bestFit="1" customWidth="1"/>
    <col min="7" max="7" width="13.453125" bestFit="1" customWidth="1"/>
    <col min="8" max="8" width="16.54296875" bestFit="1" customWidth="1"/>
    <col min="11" max="11" width="16.7265625" bestFit="1" customWidth="1"/>
  </cols>
  <sheetData>
    <row r="1" spans="1:12" ht="15" thickBot="1" x14ac:dyDescent="0.4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</row>
    <row r="2" spans="1:12" ht="39" customHeight="1" thickBot="1" x14ac:dyDescent="0.4">
      <c r="A2" t="s">
        <v>44</v>
      </c>
      <c r="B2" s="20">
        <v>37149</v>
      </c>
      <c r="C2" s="17">
        <v>916366327371</v>
      </c>
      <c r="D2" s="7">
        <v>79.8</v>
      </c>
      <c r="E2" s="7">
        <v>61.6</v>
      </c>
      <c r="F2" s="7">
        <v>5.57</v>
      </c>
      <c r="G2" s="7">
        <v>15</v>
      </c>
      <c r="H2" s="8" t="s">
        <v>8</v>
      </c>
      <c r="J2" s="15"/>
      <c r="K2" s="21"/>
    </row>
    <row r="3" spans="1:12" ht="26.5" customHeight="1" thickBot="1" x14ac:dyDescent="0.4">
      <c r="A3" t="s">
        <v>45</v>
      </c>
      <c r="B3" s="20">
        <v>37563</v>
      </c>
      <c r="C3" s="17">
        <v>916366327371</v>
      </c>
      <c r="D3" s="7">
        <v>94.6</v>
      </c>
      <c r="E3" s="7">
        <v>98.6</v>
      </c>
      <c r="F3" s="7">
        <v>7.81</v>
      </c>
      <c r="G3" s="7">
        <v>1</v>
      </c>
      <c r="H3" s="8" t="s">
        <v>8</v>
      </c>
      <c r="J3" s="15"/>
    </row>
    <row r="4" spans="1:12" ht="26.5" customHeight="1" thickBot="1" x14ac:dyDescent="0.4">
      <c r="A4" t="s">
        <v>46</v>
      </c>
      <c r="B4" s="20">
        <v>37688</v>
      </c>
      <c r="C4" s="17">
        <v>916366327371</v>
      </c>
      <c r="D4" s="7">
        <v>80</v>
      </c>
      <c r="E4" s="7">
        <v>80</v>
      </c>
      <c r="F4" s="7">
        <v>5.33</v>
      </c>
      <c r="G4" s="7">
        <v>9</v>
      </c>
      <c r="H4" s="8" t="s">
        <v>8</v>
      </c>
      <c r="J4" s="9"/>
    </row>
    <row r="5" spans="1:12" ht="26.5" customHeight="1" thickBot="1" x14ac:dyDescent="0.4">
      <c r="A5" t="s">
        <v>47</v>
      </c>
      <c r="B5" s="20">
        <v>36728</v>
      </c>
      <c r="C5" s="17">
        <v>916366327371</v>
      </c>
      <c r="D5" s="7">
        <v>95.4</v>
      </c>
      <c r="E5" s="7">
        <v>84</v>
      </c>
      <c r="F5" s="7">
        <v>8.56</v>
      </c>
      <c r="G5" s="7">
        <v>0</v>
      </c>
      <c r="H5" s="8" t="s">
        <v>9</v>
      </c>
      <c r="J5" s="9"/>
    </row>
    <row r="6" spans="1:12" ht="51.5" customHeight="1" thickBot="1" x14ac:dyDescent="0.4">
      <c r="A6" t="s">
        <v>48</v>
      </c>
      <c r="B6" s="20">
        <v>38696</v>
      </c>
      <c r="C6" s="17">
        <v>916366327371</v>
      </c>
      <c r="D6" s="7">
        <v>94</v>
      </c>
      <c r="E6" s="7">
        <v>94</v>
      </c>
      <c r="F6" s="7">
        <v>6.8</v>
      </c>
      <c r="G6" s="7">
        <v>2</v>
      </c>
      <c r="H6" s="8" t="s">
        <v>8</v>
      </c>
      <c r="J6" s="9"/>
      <c r="L6" s="19"/>
    </row>
    <row r="7" spans="1:12" ht="51.5" customHeight="1" thickBot="1" x14ac:dyDescent="0.4">
      <c r="A7" t="s">
        <v>49</v>
      </c>
      <c r="B7" s="20">
        <v>38082</v>
      </c>
      <c r="C7" s="17">
        <v>916366327371</v>
      </c>
      <c r="D7" s="7">
        <v>94</v>
      </c>
      <c r="E7" s="7">
        <v>89</v>
      </c>
      <c r="F7" s="7">
        <v>7.86</v>
      </c>
      <c r="G7" s="7">
        <v>0</v>
      </c>
      <c r="H7" s="8" t="s">
        <v>9</v>
      </c>
      <c r="J7" s="9"/>
    </row>
    <row r="8" spans="1:12" ht="26.5" customHeight="1" thickBot="1" x14ac:dyDescent="0.4">
      <c r="A8" t="s">
        <v>50</v>
      </c>
      <c r="B8" s="20">
        <v>37541</v>
      </c>
      <c r="C8" s="17">
        <v>916366327371</v>
      </c>
      <c r="D8" s="7">
        <v>86.6</v>
      </c>
      <c r="E8" s="7">
        <v>88.67</v>
      </c>
      <c r="F8" s="7">
        <v>8.41</v>
      </c>
      <c r="G8" s="7">
        <v>0</v>
      </c>
      <c r="H8" s="8" t="s">
        <v>9</v>
      </c>
      <c r="J8" s="9"/>
    </row>
    <row r="9" spans="1:12" ht="26.5" customHeight="1" thickBot="1" x14ac:dyDescent="0.4">
      <c r="A9" t="s">
        <v>51</v>
      </c>
      <c r="B9" s="20">
        <v>38747</v>
      </c>
      <c r="C9" s="17">
        <v>916366327371</v>
      </c>
      <c r="D9" s="7">
        <v>82</v>
      </c>
      <c r="E9" s="7">
        <v>86</v>
      </c>
      <c r="F9" s="7">
        <v>7.07</v>
      </c>
      <c r="G9" s="7">
        <v>1</v>
      </c>
      <c r="H9" s="8" t="s">
        <v>8</v>
      </c>
      <c r="J9" s="9"/>
    </row>
    <row r="10" spans="1:12" ht="26.5" customHeight="1" thickBot="1" x14ac:dyDescent="0.4">
      <c r="A10" t="s">
        <v>52</v>
      </c>
      <c r="B10" s="20">
        <v>37850</v>
      </c>
      <c r="C10" s="17">
        <v>916366327371</v>
      </c>
      <c r="D10" s="7">
        <v>88</v>
      </c>
      <c r="E10" s="7">
        <v>94</v>
      </c>
      <c r="F10" s="7">
        <v>7.59</v>
      </c>
      <c r="G10" s="7">
        <v>0</v>
      </c>
      <c r="H10" s="8" t="s">
        <v>9</v>
      </c>
      <c r="J10" s="9"/>
    </row>
    <row r="11" spans="1:12" ht="39" customHeight="1" thickBot="1" x14ac:dyDescent="0.4">
      <c r="A11" t="s">
        <v>53</v>
      </c>
      <c r="B11" s="20">
        <v>37033</v>
      </c>
      <c r="C11" s="17">
        <v>916366327371</v>
      </c>
      <c r="D11" s="7">
        <v>97.44</v>
      </c>
      <c r="E11" s="7">
        <v>98.83</v>
      </c>
      <c r="F11" s="7">
        <v>8.68</v>
      </c>
      <c r="G11" s="7">
        <v>0</v>
      </c>
      <c r="H11" s="8" t="s">
        <v>9</v>
      </c>
      <c r="J11" s="15"/>
    </row>
    <row r="12" spans="1:12" ht="14.5" customHeight="1" thickBot="1" x14ac:dyDescent="0.4">
      <c r="A12" t="s">
        <v>54</v>
      </c>
      <c r="B12" s="20">
        <v>36839</v>
      </c>
      <c r="C12" s="17">
        <v>916366327371</v>
      </c>
      <c r="D12" s="7">
        <v>92.8</v>
      </c>
      <c r="E12" s="7">
        <v>92.5</v>
      </c>
      <c r="F12" s="7">
        <v>7.38</v>
      </c>
      <c r="G12" s="7">
        <v>0</v>
      </c>
      <c r="H12" s="8" t="s">
        <v>8</v>
      </c>
      <c r="J12" s="9"/>
    </row>
    <row r="13" spans="1:12" ht="26.5" customHeight="1" thickBot="1" x14ac:dyDescent="0.4">
      <c r="A13" t="s">
        <v>55</v>
      </c>
      <c r="B13" s="20">
        <v>39127</v>
      </c>
      <c r="C13" s="17">
        <v>916366327371</v>
      </c>
      <c r="D13" s="7">
        <v>89.4</v>
      </c>
      <c r="E13" s="7">
        <v>90</v>
      </c>
      <c r="F13" s="7">
        <v>7.91</v>
      </c>
      <c r="G13" s="7">
        <v>0</v>
      </c>
      <c r="H13" s="8" t="s">
        <v>9</v>
      </c>
      <c r="J13" s="9"/>
    </row>
    <row r="14" spans="1:12" ht="26.5" customHeight="1" thickBot="1" x14ac:dyDescent="0.4">
      <c r="A14" t="s">
        <v>56</v>
      </c>
      <c r="B14" s="20">
        <v>38531</v>
      </c>
      <c r="C14" s="17">
        <v>916366327371</v>
      </c>
      <c r="D14" s="7">
        <v>92</v>
      </c>
      <c r="E14" s="7">
        <v>98</v>
      </c>
      <c r="F14" s="7">
        <v>7.01</v>
      </c>
      <c r="G14" s="7">
        <v>2</v>
      </c>
      <c r="H14" s="8" t="s">
        <v>8</v>
      </c>
      <c r="J14" s="9"/>
    </row>
    <row r="15" spans="1:12" ht="26.5" customHeight="1" thickBot="1" x14ac:dyDescent="0.4">
      <c r="A15" t="s">
        <v>57</v>
      </c>
      <c r="B15" s="20">
        <v>37868</v>
      </c>
      <c r="C15" s="17">
        <v>916366327371</v>
      </c>
      <c r="D15" s="7">
        <v>94.6</v>
      </c>
      <c r="E15" s="7">
        <v>96.6</v>
      </c>
      <c r="F15" s="7">
        <v>8.42</v>
      </c>
      <c r="G15" s="7">
        <v>0</v>
      </c>
      <c r="H15" s="8" t="s">
        <v>9</v>
      </c>
      <c r="J15" s="9"/>
    </row>
    <row r="16" spans="1:12" ht="39" customHeight="1" thickBot="1" x14ac:dyDescent="0.4">
      <c r="A16" t="s">
        <v>58</v>
      </c>
      <c r="B16" s="20">
        <v>37365</v>
      </c>
      <c r="C16" s="17">
        <v>916366327371</v>
      </c>
      <c r="D16" s="7">
        <v>89</v>
      </c>
      <c r="E16" s="7">
        <v>89</v>
      </c>
      <c r="F16" s="7">
        <v>7.39</v>
      </c>
      <c r="G16" s="7">
        <v>0</v>
      </c>
      <c r="H16" s="8" t="s">
        <v>8</v>
      </c>
      <c r="J16" s="9"/>
    </row>
    <row r="17" spans="1:10" ht="26.5" customHeight="1" thickBot="1" x14ac:dyDescent="0.4">
      <c r="A17" t="s">
        <v>59</v>
      </c>
      <c r="B17" s="20">
        <v>38997</v>
      </c>
      <c r="C17" s="17">
        <v>916366327371</v>
      </c>
      <c r="D17" s="7">
        <v>85.5</v>
      </c>
      <c r="E17" s="7">
        <v>83</v>
      </c>
      <c r="F17" s="7">
        <v>7.67</v>
      </c>
      <c r="G17" s="7">
        <v>0</v>
      </c>
      <c r="H17" s="8" t="s">
        <v>9</v>
      </c>
      <c r="J17" s="9"/>
    </row>
    <row r="18" spans="1:10" ht="26.5" customHeight="1" thickBot="1" x14ac:dyDescent="0.4">
      <c r="A18" t="s">
        <v>60</v>
      </c>
      <c r="B18" s="20">
        <v>38071</v>
      </c>
      <c r="C18" s="17">
        <v>916366327371</v>
      </c>
      <c r="D18" s="7">
        <v>95</v>
      </c>
      <c r="E18" s="7">
        <v>81</v>
      </c>
      <c r="F18" s="7">
        <v>7.76</v>
      </c>
      <c r="G18" s="7">
        <v>17</v>
      </c>
      <c r="H18" s="8" t="s">
        <v>8</v>
      </c>
      <c r="J18" s="9"/>
    </row>
    <row r="19" spans="1:10" ht="26.5" customHeight="1" thickBot="1" x14ac:dyDescent="0.4">
      <c r="A19" t="s">
        <v>61</v>
      </c>
      <c r="B19" s="20">
        <v>36718</v>
      </c>
      <c r="C19" s="17">
        <v>916366327371</v>
      </c>
      <c r="D19" s="7">
        <v>96</v>
      </c>
      <c r="E19" s="7">
        <v>85.4</v>
      </c>
      <c r="F19" s="7">
        <v>8.4</v>
      </c>
      <c r="G19" s="7">
        <v>4</v>
      </c>
      <c r="H19" s="8" t="s">
        <v>8</v>
      </c>
      <c r="J19" s="9"/>
    </row>
    <row r="20" spans="1:10" ht="26.5" customHeight="1" thickBot="1" x14ac:dyDescent="0.4">
      <c r="A20" t="s">
        <v>62</v>
      </c>
      <c r="B20" s="20">
        <v>37228</v>
      </c>
      <c r="C20" s="17">
        <v>916366327371</v>
      </c>
      <c r="D20" s="7">
        <v>91.4</v>
      </c>
      <c r="E20" s="7">
        <v>92.4</v>
      </c>
      <c r="F20" s="7">
        <v>8.7799999999999994</v>
      </c>
      <c r="G20" s="7">
        <v>0</v>
      </c>
      <c r="H20" s="8" t="s">
        <v>9</v>
      </c>
      <c r="J20" s="9"/>
    </row>
    <row r="21" spans="1:10" ht="51.5" customHeight="1" thickBot="1" x14ac:dyDescent="0.4">
      <c r="A21" t="s">
        <v>63</v>
      </c>
      <c r="B21" s="20">
        <v>39323</v>
      </c>
      <c r="C21" s="17">
        <v>916366327371</v>
      </c>
      <c r="D21" s="7">
        <v>86</v>
      </c>
      <c r="E21" s="7">
        <v>89</v>
      </c>
      <c r="F21" s="7">
        <v>8.4700000000000006</v>
      </c>
      <c r="G21" s="7">
        <v>0</v>
      </c>
      <c r="H21" s="8" t="s">
        <v>9</v>
      </c>
      <c r="J21" s="9"/>
    </row>
    <row r="22" spans="1:10" ht="26.5" customHeight="1" thickBot="1" x14ac:dyDescent="0.4">
      <c r="A22" t="s">
        <v>64</v>
      </c>
      <c r="B22" s="20">
        <v>39860</v>
      </c>
      <c r="C22" s="17">
        <v>916366327371</v>
      </c>
      <c r="D22" s="7">
        <v>95</v>
      </c>
      <c r="E22" s="7">
        <v>93</v>
      </c>
      <c r="F22" s="7">
        <v>6.63</v>
      </c>
      <c r="G22" s="7">
        <v>0</v>
      </c>
      <c r="H22" s="8" t="s">
        <v>8</v>
      </c>
      <c r="J22" s="9"/>
    </row>
    <row r="23" spans="1:10" ht="26.5" customHeight="1" thickBot="1" x14ac:dyDescent="0.4">
      <c r="A23" t="s">
        <v>65</v>
      </c>
      <c r="B23" s="20">
        <v>39578</v>
      </c>
      <c r="C23" s="17">
        <v>916366327371</v>
      </c>
      <c r="D23" s="7">
        <v>89.6</v>
      </c>
      <c r="E23" s="7">
        <v>96.5</v>
      </c>
      <c r="F23" s="7">
        <v>7.77</v>
      </c>
      <c r="G23" s="7">
        <v>1</v>
      </c>
      <c r="H23" s="8" t="s">
        <v>8</v>
      </c>
      <c r="J23" s="9"/>
    </row>
    <row r="24" spans="1:10" ht="26.5" customHeight="1" thickBot="1" x14ac:dyDescent="0.4">
      <c r="A24" t="s">
        <v>66</v>
      </c>
      <c r="B24" s="20">
        <v>39039</v>
      </c>
      <c r="C24" s="17">
        <v>916366327371</v>
      </c>
      <c r="D24" s="7">
        <v>97</v>
      </c>
      <c r="E24" s="7">
        <v>97</v>
      </c>
      <c r="F24" s="7">
        <v>8.83</v>
      </c>
      <c r="G24" s="7">
        <v>0</v>
      </c>
      <c r="H24" s="8" t="s">
        <v>9</v>
      </c>
      <c r="J24" s="9"/>
    </row>
    <row r="25" spans="1:10" ht="26.5" customHeight="1" thickBot="1" x14ac:dyDescent="0.4">
      <c r="A25" t="s">
        <v>67</v>
      </c>
      <c r="B25" s="20">
        <v>37353</v>
      </c>
      <c r="C25" s="17">
        <v>916366327371</v>
      </c>
      <c r="D25" s="7">
        <v>87</v>
      </c>
      <c r="E25" s="7">
        <v>90</v>
      </c>
      <c r="F25" s="7">
        <v>7.4</v>
      </c>
      <c r="G25" s="7">
        <v>1</v>
      </c>
      <c r="H25" s="8" t="s">
        <v>8</v>
      </c>
      <c r="J25" s="9"/>
    </row>
    <row r="26" spans="1:10" ht="15" thickBot="1" x14ac:dyDescent="0.4">
      <c r="A26" t="s">
        <v>68</v>
      </c>
      <c r="B26" s="20">
        <v>39693</v>
      </c>
      <c r="C26" s="17">
        <v>916366327371</v>
      </c>
      <c r="D26" s="7">
        <v>73</v>
      </c>
      <c r="E26" s="7">
        <v>69</v>
      </c>
      <c r="F26" s="7">
        <v>6.77</v>
      </c>
      <c r="G26" s="7">
        <v>13</v>
      </c>
      <c r="H26" s="8" t="s">
        <v>8</v>
      </c>
      <c r="J26" s="9"/>
    </row>
    <row r="27" spans="1:10" ht="15" thickBot="1" x14ac:dyDescent="0.4">
      <c r="A27" t="s">
        <v>69</v>
      </c>
      <c r="B27" s="20">
        <v>39247</v>
      </c>
      <c r="C27" s="17">
        <v>916366327371</v>
      </c>
      <c r="D27" s="7">
        <v>91.04</v>
      </c>
      <c r="E27" s="7">
        <v>92</v>
      </c>
      <c r="F27" s="7">
        <v>6.23</v>
      </c>
      <c r="G27" s="7">
        <v>0</v>
      </c>
      <c r="H27" s="8" t="s">
        <v>8</v>
      </c>
      <c r="J27" s="9"/>
    </row>
    <row r="28" spans="1:10" ht="51.5" customHeight="1" thickBot="1" x14ac:dyDescent="0.4">
      <c r="A28" t="s">
        <v>70</v>
      </c>
      <c r="B28" s="20">
        <v>38375</v>
      </c>
      <c r="C28" s="17">
        <v>916366327371</v>
      </c>
      <c r="D28" s="7">
        <v>84</v>
      </c>
      <c r="E28" s="7">
        <v>88.5</v>
      </c>
      <c r="F28" s="7">
        <v>7.97</v>
      </c>
      <c r="G28" s="7">
        <v>0</v>
      </c>
      <c r="H28" s="8" t="s">
        <v>8</v>
      </c>
      <c r="J28" s="9"/>
    </row>
    <row r="29" spans="1:10" ht="26.5" customHeight="1" thickBot="1" x14ac:dyDescent="0.4">
      <c r="A29" t="s">
        <v>71</v>
      </c>
      <c r="B29" s="20">
        <v>36830</v>
      </c>
      <c r="C29" s="17">
        <v>916366327371</v>
      </c>
      <c r="D29" s="7">
        <v>93.6</v>
      </c>
      <c r="E29" s="7">
        <v>98.2</v>
      </c>
      <c r="F29" s="7">
        <v>9.07</v>
      </c>
      <c r="G29" s="7">
        <v>0</v>
      </c>
      <c r="H29" s="8" t="s">
        <v>9</v>
      </c>
      <c r="J29" s="9"/>
    </row>
    <row r="30" spans="1:10" ht="26.5" customHeight="1" thickBot="1" x14ac:dyDescent="0.4">
      <c r="A30" t="s">
        <v>72</v>
      </c>
      <c r="B30" s="20">
        <v>38176</v>
      </c>
      <c r="C30" s="17">
        <v>916366327371</v>
      </c>
      <c r="D30" s="22">
        <v>90</v>
      </c>
      <c r="E30" s="7">
        <v>91.17</v>
      </c>
      <c r="F30" s="7">
        <v>6.9</v>
      </c>
      <c r="G30" s="7">
        <v>0</v>
      </c>
      <c r="H30" s="8" t="s">
        <v>8</v>
      </c>
      <c r="J30" s="9"/>
    </row>
    <row r="31" spans="1:10" ht="14.5" customHeight="1" thickBot="1" x14ac:dyDescent="0.4">
      <c r="A31" t="s">
        <v>73</v>
      </c>
      <c r="B31" s="20">
        <v>40169</v>
      </c>
      <c r="C31" s="17">
        <v>916366327371</v>
      </c>
      <c r="D31" s="7">
        <v>95.8</v>
      </c>
      <c r="E31" s="7">
        <v>83.8</v>
      </c>
      <c r="F31" s="7">
        <v>7.22</v>
      </c>
      <c r="G31" s="7">
        <v>0</v>
      </c>
      <c r="H31" s="8" t="s">
        <v>8</v>
      </c>
      <c r="J31" s="9"/>
    </row>
    <row r="32" spans="1:10" ht="26.5" customHeight="1" thickBot="1" x14ac:dyDescent="0.4">
      <c r="A32" s="5"/>
      <c r="B32" s="6"/>
      <c r="C32" s="17"/>
      <c r="D32" s="7"/>
      <c r="E32" s="7"/>
      <c r="F32" s="7"/>
      <c r="G32" s="7"/>
      <c r="H32" s="8"/>
      <c r="J32" s="9"/>
    </row>
    <row r="33" spans="1:10" ht="26.5" customHeight="1" thickBot="1" x14ac:dyDescent="0.4">
      <c r="A33" s="5"/>
      <c r="B33" s="6"/>
      <c r="C33" s="17"/>
      <c r="D33" s="11"/>
      <c r="E33" s="11"/>
      <c r="F33" s="7"/>
      <c r="G33" s="7"/>
      <c r="H33" s="8"/>
      <c r="J33" s="9"/>
    </row>
    <row r="34" spans="1:10" ht="26.5" customHeight="1" thickBot="1" x14ac:dyDescent="0.4">
      <c r="A34" s="5"/>
      <c r="B34" s="6"/>
      <c r="C34" s="17"/>
      <c r="D34" s="7"/>
      <c r="E34" s="7"/>
      <c r="F34" s="7"/>
      <c r="G34" s="7"/>
      <c r="H34" s="8"/>
      <c r="J34" s="9"/>
    </row>
    <row r="35" spans="1:10" ht="26.5" customHeight="1" thickBot="1" x14ac:dyDescent="0.4">
      <c r="A35" s="5"/>
      <c r="B35" s="6"/>
      <c r="C35" s="17"/>
      <c r="D35" s="7"/>
      <c r="E35" s="7"/>
      <c r="F35" s="7"/>
      <c r="G35" s="7"/>
      <c r="H35" s="8"/>
      <c r="J35" s="9"/>
    </row>
    <row r="36" spans="1:10" ht="15" thickBot="1" x14ac:dyDescent="0.4">
      <c r="A36" s="5"/>
      <c r="B36" s="6"/>
      <c r="C36" s="17"/>
      <c r="D36" s="7"/>
      <c r="E36" s="7"/>
      <c r="F36" s="7"/>
      <c r="G36" s="7"/>
      <c r="H36" s="8"/>
      <c r="J36" s="9"/>
    </row>
    <row r="37" spans="1:10" ht="39" customHeight="1" thickBot="1" x14ac:dyDescent="0.4">
      <c r="A37" s="5"/>
      <c r="B37" s="6"/>
      <c r="C37" s="17"/>
      <c r="D37" s="7"/>
      <c r="E37" s="7"/>
      <c r="F37" s="7"/>
      <c r="G37" s="7"/>
      <c r="H37" s="8"/>
      <c r="J37" s="9"/>
    </row>
    <row r="38" spans="1:10" ht="39" customHeight="1" thickBot="1" x14ac:dyDescent="0.4">
      <c r="A38" s="5"/>
      <c r="B38" s="6"/>
      <c r="C38" s="17"/>
      <c r="D38" s="7"/>
      <c r="E38" s="12"/>
      <c r="F38" s="7"/>
      <c r="G38" s="7"/>
      <c r="H38" s="8"/>
      <c r="J38" s="9"/>
    </row>
    <row r="39" spans="1:10" ht="26.5" customHeight="1" thickBot="1" x14ac:dyDescent="0.4">
      <c r="A39" s="5"/>
      <c r="B39" s="6"/>
      <c r="C39" s="17"/>
      <c r="D39" s="7"/>
      <c r="E39" s="7"/>
      <c r="F39" s="7"/>
      <c r="G39" s="7"/>
      <c r="H39" s="8"/>
      <c r="J39" s="9"/>
    </row>
    <row r="40" spans="1:10" ht="26.5" customHeight="1" thickBot="1" x14ac:dyDescent="0.4">
      <c r="A40" s="5"/>
      <c r="B40" s="6"/>
      <c r="C40" s="17"/>
      <c r="D40" s="7"/>
      <c r="E40" s="7"/>
      <c r="F40" s="7"/>
      <c r="G40" s="7"/>
      <c r="H40" s="8"/>
      <c r="J40" s="9"/>
    </row>
    <row r="41" spans="1:10" ht="39" customHeight="1" thickBot="1" x14ac:dyDescent="0.4">
      <c r="A41" s="5"/>
      <c r="B41" s="6"/>
      <c r="C41" s="17"/>
      <c r="D41" s="7"/>
      <c r="E41" s="7"/>
      <c r="F41" s="7"/>
      <c r="G41" s="7"/>
      <c r="H41" s="8"/>
      <c r="J41" s="9"/>
    </row>
    <row r="42" spans="1:10" ht="26.5" customHeight="1" thickBot="1" x14ac:dyDescent="0.4">
      <c r="A42" s="5"/>
      <c r="B42" s="6"/>
      <c r="C42" s="17"/>
      <c r="D42" s="7"/>
      <c r="E42" s="7"/>
      <c r="F42" s="7"/>
      <c r="G42" s="7"/>
      <c r="H42" s="8"/>
      <c r="J42" s="9"/>
    </row>
    <row r="43" spans="1:10" ht="26.5" customHeight="1" thickBot="1" x14ac:dyDescent="0.4">
      <c r="A43" s="5"/>
      <c r="B43" s="6"/>
      <c r="C43" s="17"/>
      <c r="D43" s="7"/>
      <c r="E43" s="7"/>
      <c r="F43" s="7"/>
      <c r="G43" s="7"/>
      <c r="H43" s="8"/>
      <c r="J43" s="9"/>
    </row>
    <row r="44" spans="1:10" ht="15" thickBot="1" x14ac:dyDescent="0.4">
      <c r="A44" s="5"/>
      <c r="B44" s="6"/>
      <c r="C44" s="17"/>
      <c r="D44" s="7"/>
      <c r="E44" s="7"/>
      <c r="F44" s="7"/>
      <c r="G44" s="7"/>
      <c r="H44" s="8"/>
      <c r="J44" s="9"/>
    </row>
    <row r="45" spans="1:10" ht="26.5" customHeight="1" thickBot="1" x14ac:dyDescent="0.4">
      <c r="A45" s="5"/>
      <c r="B45" s="7"/>
      <c r="C45" s="17"/>
      <c r="D45" s="7"/>
      <c r="E45" s="7"/>
      <c r="F45" s="7"/>
      <c r="G45" s="7"/>
      <c r="H45" s="8"/>
      <c r="J45" s="9"/>
    </row>
    <row r="46" spans="1:10" ht="15" thickBot="1" x14ac:dyDescent="0.4">
      <c r="A46" s="5"/>
      <c r="B46" s="6"/>
      <c r="C46" s="17"/>
      <c r="D46" s="7"/>
      <c r="E46" s="7"/>
      <c r="F46" s="7"/>
      <c r="G46" s="7"/>
      <c r="H46" s="8"/>
      <c r="J46" s="9"/>
    </row>
    <row r="47" spans="1:10" ht="26.5" customHeight="1" thickBot="1" x14ac:dyDescent="0.4">
      <c r="A47" s="5"/>
      <c r="B47" s="6"/>
      <c r="C47" s="17"/>
      <c r="D47" s="7"/>
      <c r="E47" s="7"/>
      <c r="F47" s="7"/>
      <c r="G47" s="7"/>
      <c r="H47" s="8"/>
      <c r="J47" s="9"/>
    </row>
    <row r="48" spans="1:10" ht="26.5" customHeight="1" thickBot="1" x14ac:dyDescent="0.4">
      <c r="A48" s="5"/>
      <c r="B48" s="6"/>
      <c r="C48" s="17"/>
      <c r="D48" s="7"/>
      <c r="E48" s="7"/>
      <c r="F48" s="7"/>
      <c r="G48" s="7"/>
      <c r="H48" s="8"/>
      <c r="J48" s="9"/>
    </row>
    <row r="49" spans="1:10" ht="15" thickBot="1" x14ac:dyDescent="0.4">
      <c r="A49" s="5"/>
      <c r="B49" s="6"/>
      <c r="C49" s="17"/>
      <c r="D49" s="7"/>
      <c r="E49" s="7"/>
      <c r="F49" s="7"/>
      <c r="G49" s="7"/>
      <c r="H49" s="8"/>
      <c r="J49" s="15"/>
    </row>
    <row r="50" spans="1:10" ht="51.5" customHeight="1" thickBot="1" x14ac:dyDescent="0.4">
      <c r="A50" s="5"/>
      <c r="B50" s="6"/>
      <c r="C50" s="17"/>
      <c r="D50" s="7"/>
      <c r="E50" s="7"/>
      <c r="F50" s="7"/>
      <c r="G50" s="7"/>
      <c r="H50" s="8"/>
      <c r="J50" s="9"/>
    </row>
    <row r="51" spans="1:10" ht="26.5" customHeight="1" thickBot="1" x14ac:dyDescent="0.4">
      <c r="A51" s="5"/>
      <c r="B51" s="6"/>
      <c r="C51" s="17"/>
      <c r="D51" s="7"/>
      <c r="E51" s="7"/>
      <c r="F51" s="7"/>
      <c r="G51" s="7"/>
      <c r="H51" s="8"/>
      <c r="J51" s="9"/>
    </row>
    <row r="52" spans="1:10" ht="14.5" customHeight="1" thickBot="1" x14ac:dyDescent="0.4">
      <c r="A52" s="5"/>
      <c r="B52" s="6"/>
      <c r="C52" s="17"/>
      <c r="D52" s="7"/>
      <c r="E52" s="7"/>
      <c r="F52" s="7"/>
      <c r="G52" s="7"/>
      <c r="H52" s="8"/>
      <c r="J52" s="9"/>
    </row>
    <row r="53" spans="1:10" ht="26.5" customHeight="1" thickBot="1" x14ac:dyDescent="0.4">
      <c r="A53" s="5"/>
      <c r="B53" s="6"/>
      <c r="C53" s="17"/>
      <c r="D53" s="7"/>
      <c r="E53" s="7"/>
      <c r="F53" s="7"/>
      <c r="G53" s="7"/>
      <c r="H53" s="8"/>
      <c r="J53" s="9"/>
    </row>
    <row r="54" spans="1:10" ht="51.5" customHeight="1" thickBot="1" x14ac:dyDescent="0.4">
      <c r="A54" s="5"/>
      <c r="B54" s="6"/>
      <c r="C54" s="17"/>
      <c r="D54" s="7"/>
      <c r="E54" s="7"/>
      <c r="F54" s="7"/>
      <c r="G54" s="7"/>
      <c r="H54" s="8"/>
      <c r="J54" s="9"/>
    </row>
    <row r="55" spans="1:10" ht="15" thickBot="1" x14ac:dyDescent="0.4">
      <c r="A55" s="5"/>
      <c r="B55" s="6"/>
      <c r="C55" s="17"/>
      <c r="D55" s="7"/>
      <c r="E55" s="7"/>
      <c r="F55" s="7"/>
      <c r="G55" s="7"/>
      <c r="H55" s="8"/>
      <c r="J55" s="9"/>
    </row>
    <row r="56" spans="1:10" ht="39" customHeight="1" thickBot="1" x14ac:dyDescent="0.4">
      <c r="A56" s="5"/>
      <c r="B56" s="6"/>
      <c r="C56" s="17"/>
      <c r="D56" s="7"/>
      <c r="E56" s="7"/>
      <c r="F56" s="7"/>
      <c r="G56" s="7"/>
      <c r="H56" s="8"/>
      <c r="J56" s="9"/>
    </row>
    <row r="57" spans="1:10" ht="26.5" customHeight="1" thickBot="1" x14ac:dyDescent="0.4">
      <c r="A57" s="5"/>
      <c r="B57" s="6"/>
      <c r="C57" s="17"/>
      <c r="D57" s="7"/>
      <c r="E57" s="7"/>
      <c r="F57" s="7"/>
      <c r="G57" s="7"/>
      <c r="H57" s="8"/>
      <c r="J57" s="9"/>
    </row>
    <row r="58" spans="1:10" ht="26.5" customHeight="1" thickBot="1" x14ac:dyDescent="0.4">
      <c r="A58" s="5"/>
      <c r="B58" s="6"/>
      <c r="C58" s="17"/>
      <c r="D58" s="7"/>
      <c r="E58" s="7"/>
      <c r="F58" s="7"/>
      <c r="G58" s="7"/>
      <c r="H58" s="8"/>
      <c r="J58" s="9"/>
    </row>
    <row r="59" spans="1:10" ht="51.5" customHeight="1" thickBot="1" x14ac:dyDescent="0.4">
      <c r="A59" s="5"/>
      <c r="B59" s="6"/>
      <c r="C59" s="17"/>
      <c r="D59" s="7"/>
      <c r="E59" s="7"/>
      <c r="F59" s="7"/>
      <c r="G59" s="7"/>
      <c r="H59" s="8"/>
      <c r="J59" s="9"/>
    </row>
    <row r="60" spans="1:10" ht="26.5" customHeight="1" thickBot="1" x14ac:dyDescent="0.4">
      <c r="A60" s="5"/>
      <c r="B60" s="6"/>
      <c r="C60" s="17"/>
      <c r="D60" s="7"/>
      <c r="E60" s="7"/>
      <c r="F60" s="7"/>
      <c r="G60" s="7"/>
      <c r="H60" s="8"/>
      <c r="J60" s="9"/>
    </row>
    <row r="61" spans="1:10" ht="26.5" customHeight="1" thickBot="1" x14ac:dyDescent="0.4">
      <c r="A61" s="5"/>
      <c r="B61" s="6"/>
      <c r="C61" s="17"/>
      <c r="D61" s="7"/>
      <c r="E61" s="7"/>
      <c r="F61" s="7"/>
      <c r="G61" s="7"/>
      <c r="H61" s="8"/>
      <c r="J61" s="9"/>
    </row>
    <row r="62" spans="1:10" ht="26.5" customHeight="1" thickBot="1" x14ac:dyDescent="0.4">
      <c r="A62" s="5"/>
      <c r="B62" s="6"/>
      <c r="C62" s="17"/>
      <c r="D62" s="7"/>
      <c r="E62" s="7"/>
      <c r="F62" s="7"/>
      <c r="G62" s="7"/>
      <c r="H62" s="8"/>
      <c r="J62" s="9"/>
    </row>
    <row r="63" spans="1:10" ht="15" thickBot="1" x14ac:dyDescent="0.4">
      <c r="A63" s="5"/>
      <c r="B63" s="6"/>
      <c r="C63" s="17"/>
      <c r="D63" s="7"/>
      <c r="E63" s="7"/>
      <c r="F63" s="7"/>
      <c r="G63" s="7"/>
      <c r="H63" s="8"/>
      <c r="J63" s="9"/>
    </row>
    <row r="64" spans="1:10" ht="39" customHeight="1" thickBot="1" x14ac:dyDescent="0.4">
      <c r="A64" s="5"/>
      <c r="B64" s="6"/>
      <c r="C64" s="17"/>
      <c r="D64" s="7"/>
      <c r="E64" s="7"/>
      <c r="F64" s="7"/>
      <c r="G64" s="7"/>
      <c r="H64" s="8"/>
      <c r="J64" s="9"/>
    </row>
    <row r="65" spans="1:10" ht="15" thickBot="1" x14ac:dyDescent="0.4">
      <c r="A65" s="5"/>
      <c r="B65" s="6"/>
      <c r="C65" s="17"/>
      <c r="D65" s="7"/>
      <c r="E65" s="7"/>
      <c r="F65" s="7"/>
      <c r="G65" s="7"/>
      <c r="H65" s="8"/>
      <c r="J65" s="9"/>
    </row>
    <row r="66" spans="1:10" ht="26.5" customHeight="1" thickBot="1" x14ac:dyDescent="0.4">
      <c r="A66" s="5"/>
      <c r="B66" s="6"/>
      <c r="C66" s="17"/>
      <c r="D66" s="7"/>
      <c r="E66" s="7"/>
      <c r="F66" s="7"/>
      <c r="G66" s="7"/>
      <c r="H66" s="8"/>
      <c r="J66" s="9"/>
    </row>
    <row r="67" spans="1:10" ht="26.5" customHeight="1" thickBot="1" x14ac:dyDescent="0.4">
      <c r="A67" s="5"/>
      <c r="B67" s="6"/>
      <c r="C67" s="17"/>
      <c r="D67" s="7"/>
      <c r="E67" s="7"/>
      <c r="F67" s="7"/>
      <c r="G67" s="7"/>
      <c r="H67" s="8"/>
      <c r="J67" s="9"/>
    </row>
    <row r="68" spans="1:10" ht="15" thickBot="1" x14ac:dyDescent="0.4">
      <c r="A68" s="5"/>
      <c r="B68" s="6"/>
      <c r="C68" s="17"/>
      <c r="D68" s="7"/>
      <c r="E68" s="7"/>
      <c r="F68" s="7"/>
      <c r="G68" s="7"/>
      <c r="H68" s="8"/>
      <c r="J68" s="9"/>
    </row>
    <row r="69" spans="1:10" ht="26.5" customHeight="1" thickBot="1" x14ac:dyDescent="0.4">
      <c r="A69" s="5"/>
      <c r="B69" s="6"/>
      <c r="C69" s="17"/>
      <c r="D69" s="7"/>
      <c r="E69" s="7"/>
      <c r="F69" s="7"/>
      <c r="G69" s="7"/>
      <c r="H69" s="8"/>
      <c r="J69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34C0C-299F-4277-8762-CBDA5945F059}">
  <sheetPr codeName="Sheet2"/>
  <dimension ref="B1:F14"/>
  <sheetViews>
    <sheetView showGridLines="0" workbookViewId="0">
      <selection activeCell="I8" sqref="I8"/>
    </sheetView>
  </sheetViews>
  <sheetFormatPr defaultRowHeight="14.5" x14ac:dyDescent="0.35"/>
  <cols>
    <col min="2" max="2" width="19.7265625" customWidth="1"/>
    <col min="8" max="8" width="12.90625" customWidth="1"/>
    <col min="9" max="9" width="19.6328125" customWidth="1"/>
  </cols>
  <sheetData>
    <row r="1" spans="2:6" x14ac:dyDescent="0.35">
      <c r="B1" s="24" t="s">
        <v>74</v>
      </c>
      <c r="C1" s="24"/>
      <c r="D1" s="24"/>
      <c r="E1" s="24"/>
      <c r="F1" s="24"/>
    </row>
    <row r="2" spans="2:6" x14ac:dyDescent="0.35">
      <c r="B2" s="24"/>
      <c r="C2" s="24"/>
      <c r="D2" s="24"/>
      <c r="E2" s="24"/>
      <c r="F2" s="24"/>
    </row>
    <row r="3" spans="2:6" x14ac:dyDescent="0.35">
      <c r="B3" s="25" t="s">
        <v>17</v>
      </c>
      <c r="C3" s="25"/>
      <c r="D3" s="25"/>
      <c r="E3" s="25"/>
      <c r="F3" s="25"/>
    </row>
    <row r="4" spans="2:6" x14ac:dyDescent="0.35">
      <c r="B4" s="10" t="s">
        <v>10</v>
      </c>
      <c r="C4" s="26" t="str">
        <f>VLOOKUP('Whatsapp send'!J5,'Batchmate details'!A2:H31,1,FALSE)</f>
        <v>Taylor Green</v>
      </c>
      <c r="D4" s="26"/>
      <c r="E4" s="26"/>
      <c r="F4" s="26"/>
    </row>
    <row r="5" spans="2:6" x14ac:dyDescent="0.35">
      <c r="B5" s="10" t="s">
        <v>11</v>
      </c>
      <c r="C5" s="27">
        <f>VLOOKUP('Whatsapp send'!J5,'Batchmate details'!A2:H31,2,FALSE)</f>
        <v>38071</v>
      </c>
      <c r="D5" s="27"/>
      <c r="E5" s="27"/>
      <c r="F5" s="27"/>
    </row>
    <row r="6" spans="2:6" x14ac:dyDescent="0.35">
      <c r="B6" s="10" t="s">
        <v>12</v>
      </c>
      <c r="C6" s="26" t="str">
        <f>TEXT(VLOOKUP('Whatsapp send'!J5, 'Batchmate details'!A2:H31, 4, FALSE), "0.00") &amp; " %"</f>
        <v>95.00 %</v>
      </c>
      <c r="D6" s="26"/>
      <c r="E6" s="26"/>
      <c r="F6" s="26"/>
    </row>
    <row r="7" spans="2:6" x14ac:dyDescent="0.35">
      <c r="B7" s="10" t="s">
        <v>13</v>
      </c>
      <c r="C7" s="26" t="str">
        <f>TEXT(VLOOKUP('Whatsapp send'!J5,'Batchmate details'!A2:H31,5,FALSE),"0.00") &amp; " %"</f>
        <v>81.00 %</v>
      </c>
      <c r="D7" s="26"/>
      <c r="E7" s="26"/>
      <c r="F7" s="26"/>
    </row>
    <row r="8" spans="2:6" x14ac:dyDescent="0.35">
      <c r="B8" s="10" t="s">
        <v>14</v>
      </c>
      <c r="C8" s="26">
        <f>VLOOKUP('Whatsapp send'!J5,'Batchmate details'!A2:H31,6,FALSE)</f>
        <v>7.76</v>
      </c>
      <c r="D8" s="26"/>
      <c r="E8" s="26"/>
      <c r="F8" s="26"/>
    </row>
    <row r="9" spans="2:6" x14ac:dyDescent="0.35">
      <c r="B9" s="10" t="s">
        <v>15</v>
      </c>
      <c r="C9" s="26">
        <f>VLOOKUP('Whatsapp send'!J5,'Batchmate details'!A2:H31,7,FALSE)</f>
        <v>17</v>
      </c>
      <c r="D9" s="26"/>
      <c r="E9" s="26"/>
      <c r="F9" s="26"/>
    </row>
    <row r="10" spans="2:6" x14ac:dyDescent="0.35">
      <c r="B10" s="10" t="s">
        <v>16</v>
      </c>
      <c r="C10" s="26" t="str">
        <f>VLOOKUP('Whatsapp send'!J5,'Batchmate details'!A2:H31,8,FALSE)</f>
        <v>yes</v>
      </c>
      <c r="D10" s="26"/>
      <c r="E10" s="26"/>
      <c r="F10" s="26"/>
    </row>
    <row r="11" spans="2:6" x14ac:dyDescent="0.35">
      <c r="B11" s="28"/>
      <c r="C11" s="28"/>
      <c r="D11" s="28"/>
      <c r="E11" s="28"/>
      <c r="F11" s="28"/>
    </row>
    <row r="12" spans="2:6" x14ac:dyDescent="0.35">
      <c r="B12" s="23" t="s">
        <v>18</v>
      </c>
      <c r="C12" s="23"/>
      <c r="D12" s="23"/>
      <c r="E12" s="23"/>
      <c r="F12" s="23"/>
    </row>
    <row r="13" spans="2:6" x14ac:dyDescent="0.35">
      <c r="B13" s="23" t="s">
        <v>20</v>
      </c>
      <c r="C13" s="23"/>
      <c r="D13" s="23"/>
      <c r="E13" s="23"/>
      <c r="F13" s="23"/>
    </row>
    <row r="14" spans="2:6" x14ac:dyDescent="0.35">
      <c r="B14" s="23" t="s">
        <v>43</v>
      </c>
      <c r="C14" s="23"/>
      <c r="D14" s="23"/>
      <c r="E14" s="23"/>
      <c r="F14" s="23"/>
    </row>
  </sheetData>
  <mergeCells count="13">
    <mergeCell ref="B12:F12"/>
    <mergeCell ref="B13:F13"/>
    <mergeCell ref="B14:F14"/>
    <mergeCell ref="B1:F2"/>
    <mergeCell ref="B3:F3"/>
    <mergeCell ref="C4:F4"/>
    <mergeCell ref="C5:F5"/>
    <mergeCell ref="B11:F11"/>
    <mergeCell ref="C6:F6"/>
    <mergeCell ref="C7:F7"/>
    <mergeCell ref="C8:F8"/>
    <mergeCell ref="C9:F9"/>
    <mergeCell ref="C10:F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1CCB63-4367-40EC-8B33-35706CCC5ACB}">
          <x14:formula1>
            <xm:f>'Batchmate details'!$A$2:$A$69</xm:f>
          </x14:formula1>
          <xm:sqref>I5</xm:sqref>
        </x14:dataValidation>
        <x14:dataValidation type="list" allowBlank="1" showInputMessage="1" showErrorMessage="1" xr:uid="{95277423-5C21-4B4B-A3E5-36ED616A6445}">
          <x14:formula1>
            <xm:f>'Batchmate details'!$A$26:$A$48</xm:f>
          </x14:formula1>
          <xm:sqref>I8</xm:sqref>
        </x14:dataValidation>
        <x14:dataValidation type="list" allowBlank="1" showInputMessage="1" showErrorMessage="1" xr:uid="{DB6FD69D-7642-4933-B8D4-B4EEB12B2CAB}">
          <x14:formula1>
            <xm:f>'Batchmate details'!$A$49:$A$69</xm:f>
          </x14:formula1>
          <xm:sqref>I12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7AF91-01CC-426D-A905-170B21199D76}">
  <sheetPr codeName="Sheet3"/>
  <dimension ref="I5:J10"/>
  <sheetViews>
    <sheetView showGridLines="0" tabSelected="1" zoomScale="109" zoomScaleNormal="104" workbookViewId="0">
      <selection activeCell="I14" sqref="I14"/>
    </sheetView>
  </sheetViews>
  <sheetFormatPr defaultRowHeight="14.5" x14ac:dyDescent="0.35"/>
  <cols>
    <col min="9" max="9" width="13.81640625" customWidth="1"/>
    <col min="10" max="10" width="26.7265625" customWidth="1"/>
  </cols>
  <sheetData>
    <row r="5" spans="9:10" x14ac:dyDescent="0.35">
      <c r="I5" s="16" t="s">
        <v>19</v>
      </c>
      <c r="J5" s="14" t="s">
        <v>60</v>
      </c>
    </row>
    <row r="9" spans="9:10" x14ac:dyDescent="0.35">
      <c r="I9" s="13" t="s">
        <v>10</v>
      </c>
      <c r="J9" s="13" t="str">
        <f>'Result Sheet'!C4</f>
        <v>Taylor Green</v>
      </c>
    </row>
    <row r="10" spans="9:10" x14ac:dyDescent="0.35">
      <c r="I10" s="13" t="s">
        <v>21</v>
      </c>
      <c r="J10" s="18">
        <f>VLOOKUP(J9,'Batchmate details'!A2:H69,3,FALSE)</f>
        <v>916366327371</v>
      </c>
    </row>
  </sheetData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174C55-3B87-4D0C-803B-0159B1A5F06A}">
          <x14:formula1>
            <xm:f>'Batchmate details'!$A$2:$A$31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EA97-AAA4-484C-878F-B4E1218C4E1D}">
  <sheetPr codeName="Sheet4"/>
  <dimension ref="B2:B30"/>
  <sheetViews>
    <sheetView workbookViewId="0">
      <selection activeCell="J13" sqref="J13"/>
    </sheetView>
  </sheetViews>
  <sheetFormatPr defaultRowHeight="14.5" x14ac:dyDescent="0.35"/>
  <sheetData>
    <row r="2" spans="2:2" x14ac:dyDescent="0.35">
      <c r="B2" t="s">
        <v>22</v>
      </c>
    </row>
    <row r="4" spans="2:2" x14ac:dyDescent="0.35">
      <c r="B4" t="s">
        <v>23</v>
      </c>
    </row>
    <row r="5" spans="2:2" x14ac:dyDescent="0.35">
      <c r="B5" t="s">
        <v>24</v>
      </c>
    </row>
    <row r="6" spans="2:2" x14ac:dyDescent="0.35">
      <c r="B6" t="s">
        <v>25</v>
      </c>
    </row>
    <row r="7" spans="2:2" x14ac:dyDescent="0.35">
      <c r="B7" t="s">
        <v>26</v>
      </c>
    </row>
    <row r="9" spans="2:2" x14ac:dyDescent="0.35">
      <c r="B9" t="s">
        <v>27</v>
      </c>
    </row>
    <row r="10" spans="2:2" x14ac:dyDescent="0.35">
      <c r="B10" t="s">
        <v>28</v>
      </c>
    </row>
    <row r="12" spans="2:2" x14ac:dyDescent="0.35">
      <c r="B12" t="s">
        <v>29</v>
      </c>
    </row>
    <row r="13" spans="2:2" x14ac:dyDescent="0.35">
      <c r="B13" t="s">
        <v>30</v>
      </c>
    </row>
    <row r="15" spans="2:2" x14ac:dyDescent="0.35">
      <c r="B15" t="s">
        <v>31</v>
      </c>
    </row>
    <row r="16" spans="2:2" x14ac:dyDescent="0.35">
      <c r="B16" t="s">
        <v>32</v>
      </c>
    </row>
    <row r="18" spans="2:2" x14ac:dyDescent="0.35">
      <c r="B18" t="s">
        <v>33</v>
      </c>
    </row>
    <row r="19" spans="2:2" x14ac:dyDescent="0.35">
      <c r="B19" t="s">
        <v>34</v>
      </c>
    </row>
    <row r="21" spans="2:2" x14ac:dyDescent="0.35">
      <c r="B21" t="s">
        <v>35</v>
      </c>
    </row>
    <row r="22" spans="2:2" x14ac:dyDescent="0.35">
      <c r="B22" t="s">
        <v>36</v>
      </c>
    </row>
    <row r="23" spans="2:2" x14ac:dyDescent="0.35">
      <c r="B23" t="s">
        <v>37</v>
      </c>
    </row>
    <row r="25" spans="2:2" x14ac:dyDescent="0.35">
      <c r="B25" t="s">
        <v>38</v>
      </c>
    </row>
    <row r="26" spans="2:2" x14ac:dyDescent="0.35">
      <c r="B26" t="s">
        <v>39</v>
      </c>
    </row>
    <row r="28" spans="2:2" x14ac:dyDescent="0.35">
      <c r="B28" t="s">
        <v>40</v>
      </c>
    </row>
    <row r="29" spans="2:2" x14ac:dyDescent="0.35">
      <c r="B29" t="s">
        <v>41</v>
      </c>
    </row>
    <row r="30" spans="2:2" x14ac:dyDescent="0.35">
      <c r="B30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Batchmate details</vt:lpstr>
      <vt:lpstr>Result Sheet</vt:lpstr>
      <vt:lpstr>Whatsapp send</vt:lpstr>
      <vt:lpstr>VBA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Pradyumna Burly</cp:lastModifiedBy>
  <dcterms:created xsi:type="dcterms:W3CDTF">2015-06-05T18:17:20Z</dcterms:created>
  <dcterms:modified xsi:type="dcterms:W3CDTF">2024-05-20T16:56:08Z</dcterms:modified>
</cp:coreProperties>
</file>